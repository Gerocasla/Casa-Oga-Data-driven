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fasce\projects\Casa-Oga-Data-driven\Entregable\Entregable 3\Compilado\"/>
    </mc:Choice>
  </mc:AlternateContent>
  <xr:revisionPtr revIDLastSave="0" documentId="13_ncr:1_{762D1CA2-0B9C-4A88-B446-8583DA144053}" xr6:coauthVersionLast="47" xr6:coauthVersionMax="47" xr10:uidLastSave="{00000000-0000-0000-0000-000000000000}"/>
  <bookViews>
    <workbookView xWindow="0" yWindow="3075" windowWidth="14265" windowHeight="12405" xr2:uid="{00000000-000D-0000-FFFF-FFFF00000000}"/>
  </bookViews>
  <sheets>
    <sheet name="Costos" sheetId="1" r:id="rId1"/>
    <sheet name="Supuestos" sheetId="2" r:id="rId2"/>
    <sheet name="Escenarios" sheetId="3" r:id="rId3"/>
    <sheet name="Validacion" sheetId="4" r:id="rId4"/>
    <sheet name="Sensibilidad" sheetId="5" r:id="rId5"/>
    <sheet name="Actualizacion_Etapa4" sheetId="6" r:id="rId6"/>
  </sheets>
  <calcPr calcId="181029"/>
</workbook>
</file>

<file path=xl/calcChain.xml><?xml version="1.0" encoding="utf-8"?>
<calcChain xmlns="http://schemas.openxmlformats.org/spreadsheetml/2006/main">
  <c r="D6" i="6" l="1"/>
  <c r="D8" i="6" s="1"/>
  <c r="D10" i="6" s="1"/>
  <c r="C6" i="6"/>
  <c r="C8" i="6" s="1"/>
  <c r="C10" i="6" s="1"/>
  <c r="B6" i="6"/>
  <c r="B8" i="6" s="1"/>
  <c r="B10" i="6" s="1"/>
  <c r="F16" i="4"/>
  <c r="A16" i="3"/>
  <c r="A15" i="3"/>
  <c r="A14" i="3"/>
  <c r="H6" i="3"/>
  <c r="H5" i="3"/>
  <c r="H4" i="3"/>
  <c r="B31" i="2"/>
  <c r="B30" i="2"/>
  <c r="B29" i="2"/>
  <c r="B25" i="2"/>
  <c r="C16" i="1"/>
  <c r="B14" i="1"/>
  <c r="B15" i="1" s="1"/>
  <c r="D13" i="6" l="1"/>
  <c r="D14" i="6"/>
  <c r="D15" i="6"/>
  <c r="C13" i="6"/>
  <c r="C14" i="6"/>
  <c r="C15" i="6"/>
  <c r="B13" i="6"/>
  <c r="B14" i="6"/>
  <c r="B15" i="6"/>
  <c r="B27" i="2"/>
  <c r="B26" i="2"/>
  <c r="B44" i="2"/>
  <c r="B42" i="2"/>
  <c r="B40" i="2"/>
  <c r="B17" i="1"/>
  <c r="B28" i="2" l="1"/>
  <c r="F4" i="3"/>
  <c r="G4" i="3" s="1"/>
  <c r="I4" i="3" s="1"/>
  <c r="K4" i="3" s="1"/>
  <c r="F5" i="3"/>
  <c r="G5" i="3" s="1"/>
  <c r="I5" i="3" s="1"/>
  <c r="K5" i="3" s="1"/>
  <c r="F6" i="3"/>
  <c r="G6" i="3" s="1"/>
  <c r="I6" i="3" s="1"/>
  <c r="K6" i="3" s="1"/>
  <c r="B34" i="2"/>
  <c r="B43" i="2"/>
  <c r="B32" i="2" l="1"/>
  <c r="B18" i="4"/>
  <c r="B9" i="4"/>
  <c r="B10" i="4"/>
  <c r="J4" i="3"/>
  <c r="B14" i="3"/>
  <c r="B15" i="3"/>
  <c r="J5" i="3"/>
  <c r="J6" i="3"/>
  <c r="B16" i="3"/>
  <c r="C9" i="5" l="1"/>
  <c r="D9" i="5" s="1"/>
  <c r="B33" i="2"/>
  <c r="C5" i="5"/>
  <c r="D5" i="5" s="1"/>
  <c r="C7" i="5"/>
  <c r="D7" i="5" s="1"/>
  <c r="B11" i="4"/>
  <c r="B12" i="4" s="1"/>
  <c r="B19" i="4"/>
  <c r="C14" i="3"/>
  <c r="D14" i="3"/>
  <c r="C15" i="3"/>
  <c r="D15" i="3"/>
  <c r="C16" i="3"/>
  <c r="D16" i="3"/>
  <c r="B36" i="2" l="1"/>
  <c r="B45" i="2"/>
  <c r="B46" i="2" s="1"/>
  <c r="B35" i="2"/>
  <c r="B41" i="2"/>
  <c r="C4" i="5"/>
  <c r="D4" i="5" s="1"/>
  <c r="C6" i="5"/>
  <c r="D6" i="5" s="1"/>
  <c r="C8" i="5"/>
  <c r="D8" i="5" s="1"/>
  <c r="B37" i="2"/>
  <c r="C10" i="5"/>
  <c r="C15" i="5" l="1"/>
  <c r="D15" i="5" s="1"/>
  <c r="D10" i="5"/>
</calcChain>
</file>

<file path=xl/sharedStrings.xml><?xml version="1.0" encoding="utf-8"?>
<sst xmlns="http://schemas.openxmlformats.org/spreadsheetml/2006/main" count="267" uniqueCount="250">
  <si>
    <t>CASA ÓGA | COSTOS Y PRESUPUESTO</t>
  </si>
  <si>
    <t>Concepto</t>
  </si>
  <si>
    <t>Costo inicial (USD)</t>
  </si>
  <si>
    <t>Costo anual (USD)</t>
  </si>
  <si>
    <t>Tipo de cifra</t>
  </si>
  <si>
    <t>Desarrollo y puesta a punto del modelo</t>
  </si>
  <si>
    <t>Costo fijado por el equipo consultor</t>
  </si>
  <si>
    <t>Preparación e integración de datos</t>
  </si>
  <si>
    <t>Limpieza de datos</t>
  </si>
  <si>
    <t>Capacitación de 35 usuarios</t>
  </si>
  <si>
    <t>Estimación para 35 usuarios</t>
  </si>
  <si>
    <t>Altas de los sistemas de ventas e inventario</t>
  </si>
  <si>
    <t>Cotización de Casa Óga (antes de IVA)</t>
  </si>
  <si>
    <t>Computadora e infraestructura existente</t>
  </si>
  <si>
    <t>Disponible en Casa Óga</t>
  </si>
  <si>
    <t>Licencias adicionales</t>
  </si>
  <si>
    <t>Se reutilizan las licencias actuales</t>
  </si>
  <si>
    <t>Abonos de las exportaciones</t>
  </si>
  <si>
    <t>USD 90 + 80 al mes, cotizado</t>
  </si>
  <si>
    <t>Responsable interno</t>
  </si>
  <si>
    <t>5 horas semanales × USD 12 × 52</t>
  </si>
  <si>
    <t>Apoyo externo trimestral</t>
  </si>
  <si>
    <t>Estimación de USD 200 trimestrales</t>
  </si>
  <si>
    <t>Contingencia: 10% de los costos iniciales</t>
  </si>
  <si>
    <t>TOTAL INVERSIÓN INICIAL</t>
  </si>
  <si>
    <t>TOTAL RECURRENTE ANUAL</t>
  </si>
  <si>
    <t>TOTAL AÑO 1</t>
  </si>
  <si>
    <t>Referencias aprobadas</t>
  </si>
  <si>
    <t>USD 30.000 para inversión inicial</t>
  </si>
  <si>
    <t>USD 6.000 por año</t>
  </si>
  <si>
    <t>Los costos estimados deberán confirmarse</t>
  </si>
  <si>
    <t>Impuestos</t>
  </si>
  <si>
    <t>Las altas cotizadas no incluyen IVA</t>
  </si>
  <si>
    <t>Sumar si el IVA no puede recuperarse</t>
  </si>
  <si>
    <t>Criterio de actualización</t>
  </si>
  <si>
    <t>Los tres importes indicados por el equipo consultor</t>
  </si>
  <si>
    <t>Se conservan las cotizaciones de proveedores</t>
  </si>
  <si>
    <t>Mantenimiento sin cambios</t>
  </si>
  <si>
    <t>Nota de lectura</t>
  </si>
  <si>
    <t>La preparación de datos no reemplaza las altas de los sistemas</t>
  </si>
  <si>
    <t>Se presupuestan como trabajos distintos</t>
  </si>
  <si>
    <t>IVA</t>
  </si>
  <si>
    <t>El costo de alta de proveedores excluye IVA</t>
  </si>
  <si>
    <t>No incluido en esta proyección</t>
  </si>
  <si>
    <t>CASA ÓGA | SUPUESTOS DEL CÁLCULO</t>
  </si>
  <si>
    <t>Supuesto</t>
  </si>
  <si>
    <t>Valor</t>
  </si>
  <si>
    <t>Justificación</t>
  </si>
  <si>
    <t>Capital inmovilizado observado, ARS</t>
  </si>
  <si>
    <t>Diciembre de 2025</t>
  </si>
  <si>
    <t>Posiciones inmovilizadas</t>
  </si>
  <si>
    <t>Pesos por USD</t>
  </si>
  <si>
    <t>Tipo de cambio de referencia, 26/10/2026</t>
  </si>
  <si>
    <t>Costo mensual de inmovilización</t>
  </si>
  <si>
    <t>Confirmado por la empresa, sobre el costo</t>
  </si>
  <si>
    <t>Meses que se espera ahorrar</t>
  </si>
  <si>
    <t>Horizonte de predicción; hipótesis de evaluación</t>
  </si>
  <si>
    <t>Porcentaje vendido en liquidación temprana</t>
  </si>
  <si>
    <t>Experiencia comercial informada</t>
  </si>
  <si>
    <t>Precio de liquidación temprana / lista</t>
  </si>
  <si>
    <t>Punto medio de 75%-90%</t>
  </si>
  <si>
    <t>Porcentaje vendido en cierre tardío</t>
  </si>
  <si>
    <t>Precio de cierre tardío / lista</t>
  </si>
  <si>
    <t>Punto medio de 50%-60%</t>
  </si>
  <si>
    <t>Margen de lista</t>
  </si>
  <si>
    <t>Referencia comercial para aproximar precio de lista</t>
  </si>
  <si>
    <t>Proporción que terminaría en cierre tardío</t>
  </si>
  <si>
    <t>Supuesto conservador, pendiente de validar</t>
  </si>
  <si>
    <t>Acciones efectivas (recuperan valor)</t>
  </si>
  <si>
    <t>Referencia al 60% de ventas posteriores a transferencia</t>
  </si>
  <si>
    <t>Costo por unidad transferida innecesariamente, ARS</t>
  </si>
  <si>
    <t>Punto medio de ARS 2.900-6.900</t>
  </si>
  <si>
    <t>Horas manuales por año</t>
  </si>
  <si>
    <t>360 de tareas mensuales + 120 de cierre</t>
  </si>
  <si>
    <t>Costo por hora de analista, USD</t>
  </si>
  <si>
    <t>Costo empresa informado</t>
  </si>
  <si>
    <t>Casos adicionales acertados en seis meses</t>
  </si>
  <si>
    <t>Validación comparando 600 alertas mensuales</t>
  </si>
  <si>
    <t>Meses observados</t>
  </si>
  <si>
    <t>De abril a septiembre de 2025</t>
  </si>
  <si>
    <t>Adopción de alertas esperada</t>
  </si>
  <si>
    <t>Dentro del 60%-70% inicial informado</t>
  </si>
  <si>
    <t>Tiempo manual que se ahorra</t>
  </si>
  <si>
    <t>Supuesto base, por verificar</t>
  </si>
  <si>
    <t>CÁLCULOS REPRODUCIBLES</t>
  </si>
  <si>
    <t>Importe</t>
  </si>
  <si>
    <t>Fórmula o explicación</t>
  </si>
  <si>
    <t>Capital promedio por posición, USD</t>
  </si>
  <si>
    <t>ARS 83,9 millones / 661 / tipo de cambio</t>
  </si>
  <si>
    <t>Mejora posible por anticipar liquidación, USD</t>
  </si>
  <si>
    <t>Diferencia de precio y unidades vendidas</t>
  </si>
  <si>
    <t>Ahorro por 3 meses de inmovilización, USD</t>
  </si>
  <si>
    <t>5% del costo por cada mes ahorrado</t>
  </si>
  <si>
    <t>Beneficio medio por acción correcta, USD</t>
  </si>
  <si>
    <t>Éxito del 60%; 25% de casos evita cierre tardío</t>
  </si>
  <si>
    <t>Costo evitado por una falsa acción, USD</t>
  </si>
  <si>
    <t>Se supone una unidad por posición; revisar en piloto</t>
  </si>
  <si>
    <t>Aciertos incrementales estimados por año</t>
  </si>
  <si>
    <t>Extrapolación de seis meses</t>
  </si>
  <si>
    <t>Ahorro del trabajo manual por año, USD</t>
  </si>
  <si>
    <t>Solo equivale a efectivo si evita costos reales</t>
  </si>
  <si>
    <t>Beneficio predictivo incremental, USD</t>
  </si>
  <si>
    <t>Se actúa sobre 70% de alertas</t>
  </si>
  <si>
    <t>Beneficio anual total, USD</t>
  </si>
  <si>
    <t>Beneficio del ranking + horas ahorradas</t>
  </si>
  <si>
    <t>Costo año 1, USD</t>
  </si>
  <si>
    <t>Costo inicial más anual</t>
  </si>
  <si>
    <t>Retorno año 1</t>
  </si>
  <si>
    <t>Expresado como porcentaje</t>
  </si>
  <si>
    <t>Recupero simple, meses</t>
  </si>
  <si>
    <t>Método indicado en la consigna</t>
  </si>
  <si>
    <t>Recupero con costos recurrentes, meses</t>
  </si>
  <si>
    <t>Más realista para varios años</t>
  </si>
  <si>
    <t>EVALUACIÓN PLURIANUAL Y CONDICIONES</t>
  </si>
  <si>
    <t>Explicación</t>
  </si>
  <si>
    <t>Costos acumulados a 3 años</t>
  </si>
  <si>
    <t>Inversión inicial y tres años de gastos</t>
  </si>
  <si>
    <t>ROI esperado a 3 años</t>
  </si>
  <si>
    <t>Tres años de beneficios y costos acumulados</t>
  </si>
  <si>
    <t>Beneficio anual necesario para cubrir 3 años</t>
  </si>
  <si>
    <t>Umbral para ROI de tres años igual a cero</t>
  </si>
  <si>
    <t>Beneficio anual para recuperar en 12 meses</t>
  </si>
  <si>
    <t>Cubre todos los gastos del primer año</t>
  </si>
  <si>
    <t>Beneficio anual para recuperar en 24 meses, con mantenimiento</t>
  </si>
  <si>
    <t>Inversión inicial amortizada en dos años</t>
  </si>
  <si>
    <t>Diferencia anual para ser viable a tres años</t>
  </si>
  <si>
    <t>Aumento sobre beneficio esperado</t>
  </si>
  <si>
    <t>Aumento porcentual requerido a tres años</t>
  </si>
  <si>
    <t>Supuesto más sensible del proyecto</t>
  </si>
  <si>
    <t>CASA ÓGA | ESCENARIOS ANUALES</t>
  </si>
  <si>
    <t>Escenario</t>
  </si>
  <si>
    <t>Adopción</t>
  </si>
  <si>
    <t>Acción exitosa</t>
  </si>
  <si>
    <t>Terminaban en cierre</t>
  </si>
  <si>
    <t>Horas ahorradas</t>
  </si>
  <si>
    <t>Valor por acierto (USD)</t>
  </si>
  <si>
    <t>Beneficio predictivo (USD)</t>
  </si>
  <si>
    <t>Valor de horas ahorradas</t>
  </si>
  <si>
    <t>Beneficio anual</t>
  </si>
  <si>
    <t>ROI año 1</t>
  </si>
  <si>
    <t>Recupero simple (meses)</t>
  </si>
  <si>
    <t>Conservador</t>
  </si>
  <si>
    <t>Esperado</t>
  </si>
  <si>
    <t>Optimista</t>
  </si>
  <si>
    <t>Interpretación</t>
  </si>
  <si>
    <t>Los escenarios mantienen los costos y modifican la eficacia y la adopción.</t>
  </si>
  <si>
    <t>Rentabilidad en el primer año</t>
  </si>
  <si>
    <t>El ROI de los tres escenarios sigue siendo negativo.</t>
  </si>
  <si>
    <t>Horizonte de 3 años</t>
  </si>
  <si>
    <t>El escenario optimista supera los costos a tres años. El esperado no.</t>
  </si>
  <si>
    <t>Recupero</t>
  </si>
  <si>
    <t>El cálculo simple no descuenta gastos futuros; el adicional sí.</t>
  </si>
  <si>
    <t>PLAZO COMPLETO (INCLUYE MANTENIMIENTO)</t>
  </si>
  <si>
    <t>Beneficio anual (USD)</t>
  </si>
  <si>
    <t>ROI a 3 años</t>
  </si>
  <si>
    <t>Recupero con mantenimiento (meses)</t>
  </si>
  <si>
    <t>Lectura</t>
  </si>
  <si>
    <t>Se compara el ahorro neto de mantener el proyecto</t>
  </si>
  <si>
    <t>CASA ÓGA | RESULTADOS REALES DE VALIDACIÓN</t>
  </si>
  <si>
    <t>Método con 600 alertas mensuales</t>
  </si>
  <si>
    <t>Aciertos</t>
  </si>
  <si>
    <t>Falsas alertas</t>
  </si>
  <si>
    <t>Casos omitidos</t>
  </si>
  <si>
    <t>Casos sanos sin alerta</t>
  </si>
  <si>
    <t>Recall</t>
  </si>
  <si>
    <t>Regla basada en cobertura</t>
  </si>
  <si>
    <t>Regresión logística</t>
  </si>
  <si>
    <t>Gradient Boosting</t>
  </si>
  <si>
    <t>Estimación de valor neto, seis meses</t>
  </si>
  <si>
    <t>Beneficio (USD)</t>
  </si>
  <si>
    <t>Cálculo</t>
  </si>
  <si>
    <t>Valor Gradient Boosting</t>
  </si>
  <si>
    <t>Aciertos corregidos menos falsas acciones, con adopción 70%</t>
  </si>
  <si>
    <t>Valor regla a igual cantidad de alertas</t>
  </si>
  <si>
    <t>Mismo esfuerzo, 600 alertas mensuales</t>
  </si>
  <si>
    <t>Diferencia, seis meses</t>
  </si>
  <si>
    <t>Se proyecta el doble para un año</t>
  </si>
  <si>
    <t>Mejora anual proyectada</t>
  </si>
  <si>
    <t>La diferencia de seis meses multiplicada por dos</t>
  </si>
  <si>
    <t>COMPARACIÓN CON LA REGLA FIJA ORIGINAL (SIN CUPO MENSUAL)</t>
  </si>
  <si>
    <t>Método</t>
  </si>
  <si>
    <t>Regla fija: cobertura &gt;12 meses (175 alertas/mes)</t>
  </si>
  <si>
    <t>Valor neto regla fija original (6 meses)</t>
  </si>
  <si>
    <t>Diferencia: modelo con 600 alertas menos regla fija</t>
  </si>
  <si>
    <t>Nota: la regla fija genera unas 175 alertas por mes. Su valor económico NO es comparable bajo el mismo esfuerzo con las 600 alertas mensuales de los otros métodos.</t>
  </si>
  <si>
    <t>CASA ÓGA | SENSIBILIDAD A LOS COSTOS REVISADOS</t>
  </si>
  <si>
    <t>Cambio respecto de base</t>
  </si>
  <si>
    <t>Valor modificado</t>
  </si>
  <si>
    <t>Base</t>
  </si>
  <si>
    <t>Sin cambios</t>
  </si>
  <si>
    <t>Adopción de alertas</t>
  </si>
  <si>
    <t>70% → 60%</t>
  </si>
  <si>
    <t>Beneficio por acción acertada</t>
  </si>
  <si>
    <t>USD 14,34 → USD 7,17</t>
  </si>
  <si>
    <t>Aciertos adicionales del modelo</t>
  </si>
  <si>
    <t>137 → 96 en seis meses</t>
  </si>
  <si>
    <t>Mayor costo de preparación</t>
  </si>
  <si>
    <t>USD 1.000 → USD 2.000</t>
  </si>
  <si>
    <t>Menos tiempo manual ahorrado</t>
  </si>
  <si>
    <t>70% → 35%</t>
  </si>
  <si>
    <t>Beneficio total se reduce a la mitad</t>
  </si>
  <si>
    <t>USD 7.385 → USD 3.692</t>
  </si>
  <si>
    <t>Criterio</t>
  </si>
  <si>
    <t>Cada fila cambia una condición y mantiene las otras como en el escenario esperado.</t>
  </si>
  <si>
    <t>Limitación</t>
  </si>
  <si>
    <t>El ahorro de horas es potencial: debe traducirse en costos efectivamente evitados.</t>
  </si>
  <si>
    <t>ROI a tres años si los beneficios se reducen a la mitad</t>
  </si>
  <si>
    <t>USD 7.385 → USD 3.692/año</t>
  </si>
  <si>
    <t>CASA ÓGA | ACTUALIZACIÓN DEL ROI CON LA ETAPA 4 (ESCENARIO ESPERADO)</t>
  </si>
  <si>
    <t>Parte B (Etapa 2, validación)</t>
  </si>
  <si>
    <t>Etapa 4 · validación 2025</t>
  </si>
  <si>
    <t>Etapa 4 · test 2026</t>
  </si>
  <si>
    <t>Valor en etapa4_resultados.json (val / test)</t>
  </si>
  <si>
    <t>Aciertos adicionales del modelo frente a la regla Top-600 (en el período)</t>
  </si>
  <si>
    <t>158 / 177</t>
  </si>
  <si>
    <t>Meses del período</t>
  </si>
  <si>
    <t>6 / 5</t>
  </si>
  <si>
    <t>Aciertos adicionales anualizados</t>
  </si>
  <si>
    <t>316,0 / 424,8</t>
  </si>
  <si>
    <t>Valor por acierto adicional (USD) = 70% × (14,34 + 3,14)</t>
  </si>
  <si>
    <t>Parte B 3.3</t>
  </si>
  <si>
    <t>Beneficio predictivo anual (USD)</t>
  </si>
  <si>
    <t>3867 / 5198</t>
  </si>
  <si>
    <t>Beneficio por horas ahorradas (USD) = 480 h × USD 12 × 70%</t>
  </si>
  <si>
    <t>Beneficio anual total (USD)</t>
  </si>
  <si>
    <t>7899 / 9230</t>
  </si>
  <si>
    <t>Inversión inicial (USD)</t>
  </si>
  <si>
    <t>Parte B 3.2</t>
  </si>
  <si>
    <t>Mantenimiento anual (USD)</t>
  </si>
  <si>
    <t>ROI año 1 = (beneficio − inversión − mantenimiento) / (inversión + mantenimiento)</t>
  </si>
  <si>
    <t>-49,1% / -40,6%</t>
  </si>
  <si>
    <t>ROI a 3 años = (3 × beneficio − inversión − 3 × mantenimiento) / (inversión + 3 × mantenimiento)</t>
  </si>
  <si>
    <t>-13,7% / 0,9%</t>
  </si>
  <si>
    <t>Recupero con mantenimiento (meses) = inversión / (beneficio − mantenimiento) × 12</t>
  </si>
  <si>
    <t>59,2 / 35,1</t>
  </si>
  <si>
    <t>Desempeño con 600 alertas por mes (Etapa 4)</t>
  </si>
  <si>
    <t>Indicador</t>
  </si>
  <si>
    <t>Validación 2025 (abr-sep)</t>
  </si>
  <si>
    <t>Test 2026 (ene-may)</t>
  </si>
  <si>
    <t>Positivos reales</t>
  </si>
  <si>
    <t>Prevalencia</t>
  </si>
  <si>
    <t>VP ensamble Top-600</t>
  </si>
  <si>
    <t>VP regla ordenada por cobertura Top-600</t>
  </si>
  <si>
    <t>Recall@600 ensamble</t>
  </si>
  <si>
    <t>Precisión@600 ensamble</t>
  </si>
  <si>
    <t>Valor neto ensamble en el período (USD; VP × 10,04 − FP × 2,20)</t>
  </si>
  <si>
    <t>Fuente: Entregable 3/Modelo/resultados/etapa4_resultados.json (bloques "roi_escenario_esperado" y "periodos"), generado por Modelo/etapa4_evaluacion_final.py. Ver Secciones 8.1, 8.2 y 11.2 del documento compilado.</t>
  </si>
  <si>
    <t>Se mantienen todos los supuestos del escenario esperado de la Parte B (70% de adopción, 70% de horas ahorradas, USD 14,34 por acierto, USD 3,14 de costo evitado, inversión USD 9.570 y mantenimiento USD 5.960/año). Sólo cambian los aciertos adicionales frente a la regla con el mismo cupo de alertas.</t>
  </si>
  <si>
    <t>Se informa como rango: el test 2026 es un año más fácil (prevalencia 9,0% contra 2,2%) y proviene de un nuevo reporte consolidado.</t>
  </si>
  <si>
    <t>Las hojas originales de la Parte B (Costos, Supuestos, Escenarios, Validacion, Sensibilidad) no se modificaron.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</si>
</sst>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#,##0.00;[Red]\(#,##0.00\)"/>
    <numFmt numFmtId="167" formatCode="#,##0.0"/>
  </numFmts>
  <fonts count="4">
    <font>
      <sz val="11"/>
      <name val="Carlito"/>
    </font>
    <font>
      <b/>
      <sz val="13"/>
      <color rgb="FFFFFFFF"/>
      <name val="Carlito"/>
    </font>
    <font>
      <b/>
      <sz val="11"/>
      <name val="Carlito"/>
    </font>
    <font>
      <i/>
      <sz val="1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83D63"/>
      </patternFill>
    </fill>
    <fill>
      <patternFill patternType="solid">
        <fgColor rgb="FFE3ECF5"/>
      </patternFill>
    </fill>
    <fill>
      <patternFill patternType="solid">
        <fgColor rgb="FFEAF0F6"/>
      </patternFill>
    </fill>
    <fill>
      <patternFill patternType="solid">
        <fgColor rgb="FFE3ECF5"/>
      </patternFill>
    </fill>
    <fill>
      <patternFill patternType="solid">
        <fgColor rgb="FF183D63"/>
      </patternFill>
    </fill>
    <fill>
      <patternFill patternType="solid">
        <fgColor rgb="FFE8DBD6"/>
      </patternFill>
    </fill>
    <fill>
      <patternFill patternType="solid">
        <fgColor rgb="FFDDC8C1"/>
      </patternFill>
    </fill>
    <fill>
      <patternFill patternType="solid">
        <fgColor rgb="FFF6F2F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35">
    <xf numFmtId="0" fontId="0" fillId="0" borderId="0" xfId="0" applyBorder="1"/>
    <xf numFmtId="0" fontId="1" fillId="2" borderId="0" xfId="0" applyFont="1" applyFill="1" applyBorder="1"/>
    <xf numFmtId="0" fontId="1" fillId="2" borderId="0" xfId="0" applyFont="1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1" xfId="0" applyAlignment="1">
      <alignment wrapText="1"/>
    </xf>
    <xf numFmtId="0" fontId="2" fillId="3" borderId="0" xfId="0" applyFont="1" applyFill="1" applyBorder="1" applyAlignment="1">
      <alignment wrapText="1"/>
    </xf>
    <xf numFmtId="0" fontId="2" fillId="3" borderId="0" xfId="0" applyFont="1" applyFill="1" applyBorder="1"/>
    <xf numFmtId="0" fontId="2" fillId="4" borderId="0" xfId="0" applyFont="1" applyFill="1" applyBorder="1" applyAlignment="1">
      <alignment wrapText="1"/>
    </xf>
    <xf numFmtId="0" fontId="2" fillId="4" borderId="0" xfId="0" applyFont="1" applyFill="1" applyBorder="1"/>
    <xf numFmtId="164" fontId="0" fillId="0" borderId="0" xfId="0" applyNumberFormat="1" applyBorder="1" applyAlignment="1">
      <alignment wrapText="1"/>
    </xf>
    <xf numFmtId="164" fontId="0" fillId="0" borderId="1" xfId="0" applyNumberFormat="1" applyAlignment="1">
      <alignment wrapText="1"/>
    </xf>
    <xf numFmtId="165" fontId="0" fillId="0" borderId="0" xfId="0" applyNumberFormat="1" applyBorder="1" applyAlignment="1">
      <alignment wrapText="1"/>
    </xf>
    <xf numFmtId="9" fontId="0" fillId="0" borderId="0" xfId="0" applyNumberFormat="1" applyBorder="1" applyAlignment="1">
      <alignment wrapText="1"/>
    </xf>
    <xf numFmtId="9" fontId="0" fillId="0" borderId="0" xfId="0" applyNumberFormat="1" applyBorder="1"/>
    <xf numFmtId="164" fontId="0" fillId="0" borderId="0" xfId="0" applyNumberFormat="1" applyBorder="1"/>
    <xf numFmtId="0" fontId="2" fillId="5" borderId="0" xfId="0" applyFont="1" applyFill="1" applyBorder="1" applyAlignment="1">
      <alignment wrapText="1"/>
    </xf>
    <xf numFmtId="0" fontId="1" fillId="6" borderId="0" xfId="0" applyFont="1" applyFill="1" applyBorder="1"/>
    <xf numFmtId="0" fontId="2" fillId="7" borderId="0" xfId="0" applyFont="1" applyFill="1" applyBorder="1" applyAlignment="1">
      <alignment wrapText="1"/>
    </xf>
    <xf numFmtId="0" fontId="2" fillId="8" borderId="0" xfId="0" applyFont="1" applyFill="1" applyBorder="1" applyAlignment="1">
      <alignment wrapText="1"/>
    </xf>
    <xf numFmtId="0" fontId="2" fillId="8" borderId="0" xfId="0" applyFont="1" applyFill="1" applyBorder="1"/>
    <xf numFmtId="0" fontId="0" fillId="9" borderId="0" xfId="0" applyFill="1" applyBorder="1" applyAlignment="1">
      <alignment wrapText="1"/>
    </xf>
    <xf numFmtId="10" fontId="0" fillId="0" borderId="0" xfId="0" applyNumberFormat="1" applyBorder="1"/>
    <xf numFmtId="166" fontId="0" fillId="9" borderId="0" xfId="0" applyNumberFormat="1" applyFill="1" applyBorder="1" applyAlignment="1">
      <alignment wrapText="1"/>
    </xf>
    <xf numFmtId="164" fontId="0" fillId="9" borderId="0" xfId="0" applyNumberFormat="1" applyFill="1" applyBorder="1" applyAlignment="1">
      <alignment wrapText="1"/>
    </xf>
    <xf numFmtId="0" fontId="1" fillId="6" borderId="1" xfId="0" applyFont="1" applyFill="1" applyAlignment="1">
      <alignment wrapText="1"/>
    </xf>
    <xf numFmtId="0" fontId="2" fillId="5" borderId="1" xfId="0" applyFont="1" applyFill="1" applyAlignment="1">
      <alignment wrapText="1"/>
    </xf>
    <xf numFmtId="0" fontId="0" fillId="0" borderId="1" xfId="0" applyAlignment="1">
      <alignment vertical="top" wrapText="1"/>
    </xf>
    <xf numFmtId="1" fontId="0" fillId="0" borderId="1" xfId="0" applyNumberFormat="1" applyAlignment="1">
      <alignment vertical="top" wrapText="1"/>
    </xf>
    <xf numFmtId="167" fontId="0" fillId="0" borderId="1" xfId="0" applyNumberFormat="1" applyAlignment="1">
      <alignment vertical="top" wrapText="1"/>
    </xf>
    <xf numFmtId="4" fontId="0" fillId="0" borderId="1" xfId="0" applyNumberFormat="1" applyAlignment="1">
      <alignment vertical="top" wrapText="1"/>
    </xf>
    <xf numFmtId="3" fontId="0" fillId="0" borderId="1" xfId="0" applyNumberFormat="1" applyAlignment="1">
      <alignment vertical="top" wrapText="1"/>
    </xf>
    <xf numFmtId="164" fontId="0" fillId="0" borderId="1" xfId="0" applyNumberFormat="1" applyAlignment="1">
      <alignment vertical="top" wrapText="1"/>
    </xf>
    <xf numFmtId="165" fontId="0" fillId="0" borderId="1" xfId="0" applyNumberFormat="1" applyAlignment="1">
      <alignment vertical="top" wrapText="1"/>
    </xf>
    <xf numFmtId="3" fontId="0" fillId="0" borderId="1" xfId="0" applyNumberFormat="1" applyAlignment="1">
      <alignment wrapText="1"/>
    </xf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/>
  </sheetViews>
  <sheetFormatPr baseColWidth="10" defaultColWidth="9" defaultRowHeight="14.25"/>
  <cols>
    <col min="1" max="1" width="47" customWidth="1"/>
    <col min="2" max="2" width="21" customWidth="1"/>
    <col min="3" max="3" width="30" customWidth="1"/>
    <col min="4" max="4" width="52" customWidth="1"/>
  </cols>
  <sheetData>
    <row r="1" spans="1:4" ht="27.95" customHeight="1">
      <c r="A1" s="2" t="s">
        <v>0</v>
      </c>
      <c r="B1" s="2"/>
      <c r="C1" s="1"/>
      <c r="D1" s="1"/>
    </row>
    <row r="2" spans="1:4">
      <c r="A2" s="3"/>
      <c r="B2" s="3"/>
    </row>
    <row r="3" spans="1:4" ht="27.95" customHeight="1">
      <c r="A3" s="5" t="s">
        <v>1</v>
      </c>
      <c r="B3" s="5" t="s">
        <v>2</v>
      </c>
      <c r="C3" s="6" t="s">
        <v>3</v>
      </c>
      <c r="D3" s="6" t="s">
        <v>4</v>
      </c>
    </row>
    <row r="4" spans="1:4">
      <c r="A4" s="3" t="s">
        <v>5</v>
      </c>
      <c r="B4" s="3">
        <v>3000</v>
      </c>
      <c r="C4">
        <v>0</v>
      </c>
      <c r="D4" t="s">
        <v>6</v>
      </c>
    </row>
    <row r="5" spans="1:4">
      <c r="A5" s="3" t="s">
        <v>7</v>
      </c>
      <c r="B5" s="3">
        <v>1000</v>
      </c>
      <c r="C5">
        <v>0</v>
      </c>
      <c r="D5" t="s">
        <v>6</v>
      </c>
    </row>
    <row r="6" spans="1:4">
      <c r="A6" s="3" t="s">
        <v>8</v>
      </c>
      <c r="B6" s="3">
        <v>800</v>
      </c>
      <c r="C6">
        <v>0</v>
      </c>
      <c r="D6" t="s">
        <v>6</v>
      </c>
    </row>
    <row r="7" spans="1:4">
      <c r="A7" s="3" t="s">
        <v>9</v>
      </c>
      <c r="B7" s="3">
        <v>900</v>
      </c>
      <c r="C7">
        <v>0</v>
      </c>
      <c r="D7" t="s">
        <v>10</v>
      </c>
    </row>
    <row r="8" spans="1:4">
      <c r="A8" s="3" t="s">
        <v>11</v>
      </c>
      <c r="B8" s="3">
        <v>3000</v>
      </c>
      <c r="C8">
        <v>0</v>
      </c>
      <c r="D8" t="s">
        <v>12</v>
      </c>
    </row>
    <row r="9" spans="1:4">
      <c r="A9" s="3" t="s">
        <v>13</v>
      </c>
      <c r="B9" s="3">
        <v>0</v>
      </c>
      <c r="C9">
        <v>0</v>
      </c>
      <c r="D9" t="s">
        <v>14</v>
      </c>
    </row>
    <row r="10" spans="1:4">
      <c r="A10" s="3" t="s">
        <v>15</v>
      </c>
      <c r="B10" s="3">
        <v>0</v>
      </c>
      <c r="C10">
        <v>0</v>
      </c>
      <c r="D10" t="s">
        <v>16</v>
      </c>
    </row>
    <row r="11" spans="1:4">
      <c r="A11" s="3" t="s">
        <v>17</v>
      </c>
      <c r="B11" s="3">
        <v>0</v>
      </c>
      <c r="C11">
        <v>2040</v>
      </c>
      <c r="D11" t="s">
        <v>18</v>
      </c>
    </row>
    <row r="12" spans="1:4">
      <c r="A12" s="3" t="s">
        <v>19</v>
      </c>
      <c r="B12" s="3">
        <v>0</v>
      </c>
      <c r="C12">
        <v>3120</v>
      </c>
      <c r="D12" t="s">
        <v>20</v>
      </c>
    </row>
    <row r="13" spans="1:4">
      <c r="A13" s="3" t="s">
        <v>21</v>
      </c>
      <c r="B13" s="3">
        <v>0</v>
      </c>
      <c r="C13">
        <v>800</v>
      </c>
      <c r="D13" t="s">
        <v>22</v>
      </c>
    </row>
    <row r="14" spans="1:4" ht="15">
      <c r="A14" s="3" t="s">
        <v>23</v>
      </c>
      <c r="B14" s="7">
        <f>SUM(B4:B10)*0.1</f>
        <v>870</v>
      </c>
      <c r="C14" s="8"/>
    </row>
    <row r="15" spans="1:4" ht="15">
      <c r="A15" s="3" t="s">
        <v>24</v>
      </c>
      <c r="B15" s="7">
        <f>SUM(B4:B10)+B14</f>
        <v>9570</v>
      </c>
      <c r="C15" s="8"/>
    </row>
    <row r="16" spans="1:4" ht="15">
      <c r="A16" s="3" t="s">
        <v>25</v>
      </c>
      <c r="B16" s="7"/>
      <c r="C16" s="8">
        <f>SUM(C4:C13)</f>
        <v>5960</v>
      </c>
    </row>
    <row r="17" spans="1:4" ht="15">
      <c r="A17" s="3" t="s">
        <v>26</v>
      </c>
      <c r="B17" s="7">
        <f>B15+C16</f>
        <v>15530</v>
      </c>
      <c r="C17" s="8"/>
    </row>
    <row r="18" spans="1:4">
      <c r="A18" s="3"/>
      <c r="B18" s="3"/>
    </row>
    <row r="19" spans="1:4" ht="29.1" customHeight="1">
      <c r="A19" s="3" t="s">
        <v>27</v>
      </c>
      <c r="B19" s="3" t="s">
        <v>28</v>
      </c>
      <c r="C19" s="3" t="s">
        <v>29</v>
      </c>
      <c r="D19" s="3" t="s">
        <v>30</v>
      </c>
    </row>
    <row r="20" spans="1:4" ht="29.1" customHeight="1">
      <c r="A20" s="3" t="s">
        <v>31</v>
      </c>
      <c r="B20" s="3" t="s">
        <v>32</v>
      </c>
      <c r="C20" s="3"/>
      <c r="D20" s="3" t="s">
        <v>33</v>
      </c>
    </row>
    <row r="21" spans="1:4" ht="29.1" customHeight="1">
      <c r="A21" s="15" t="s">
        <v>34</v>
      </c>
      <c r="B21" s="15" t="s">
        <v>35</v>
      </c>
      <c r="C21" s="15" t="s">
        <v>36</v>
      </c>
      <c r="D21" s="15" t="s">
        <v>37</v>
      </c>
    </row>
    <row r="22" spans="1:4" ht="29.1" customHeight="1">
      <c r="A22" s="3" t="s">
        <v>38</v>
      </c>
      <c r="B22" s="3" t="s">
        <v>39</v>
      </c>
      <c r="C22" s="3"/>
      <c r="D22" s="3" t="s">
        <v>40</v>
      </c>
    </row>
    <row r="23" spans="1:4" ht="29.1" customHeight="1">
      <c r="A23" s="3" t="s">
        <v>41</v>
      </c>
      <c r="B23" s="3" t="s">
        <v>42</v>
      </c>
      <c r="C23" s="3"/>
      <c r="D23" s="3" t="s">
        <v>43</v>
      </c>
    </row>
    <row r="24" spans="1:4">
      <c r="A24" s="3"/>
      <c r="B24" s="3"/>
    </row>
    <row r="25" spans="1:4">
      <c r="A25" s="3"/>
      <c r="B25" s="3"/>
    </row>
    <row r="26" spans="1:4">
      <c r="A26" s="3"/>
      <c r="B26" s="3"/>
    </row>
    <row r="27" spans="1:4">
      <c r="A27" s="3"/>
      <c r="B27" s="3"/>
    </row>
    <row r="28" spans="1:4">
      <c r="A28" s="3"/>
      <c r="B28" s="3"/>
    </row>
    <row r="29" spans="1:4">
      <c r="A29" s="3"/>
      <c r="B29" s="3"/>
    </row>
    <row r="30" spans="1:4">
      <c r="A30" s="3"/>
      <c r="B30" s="3"/>
    </row>
    <row r="31" spans="1:4">
      <c r="A31" s="3"/>
      <c r="B31" s="3"/>
    </row>
    <row r="32" spans="1:4">
      <c r="A32" s="3"/>
      <c r="B32" s="3"/>
    </row>
    <row r="33" spans="1:2">
      <c r="A33" s="3"/>
      <c r="B33" s="3"/>
    </row>
    <row r="34" spans="1:2">
      <c r="A34" s="3"/>
      <c r="B34" s="3"/>
    </row>
    <row r="35" spans="1:2">
      <c r="A35" s="3"/>
      <c r="B35" s="3"/>
    </row>
    <row r="36" spans="1:2">
      <c r="A36" s="3"/>
      <c r="B36" s="3"/>
    </row>
    <row r="37" spans="1:2">
      <c r="A37" s="3"/>
      <c r="B37" s="3"/>
    </row>
    <row r="38" spans="1:2">
      <c r="A38" s="3"/>
      <c r="B38" s="3"/>
    </row>
    <row r="39" spans="1:2">
      <c r="A39" s="3"/>
      <c r="B39" s="3"/>
    </row>
    <row r="40" spans="1:2">
      <c r="A40" s="3"/>
      <c r="B4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workbookViewId="0"/>
  </sheetViews>
  <sheetFormatPr baseColWidth="10" defaultColWidth="9" defaultRowHeight="14.25"/>
  <cols>
    <col min="1" max="1" width="47" customWidth="1"/>
    <col min="2" max="2" width="21" customWidth="1"/>
    <col min="3" max="3" width="65" customWidth="1"/>
  </cols>
  <sheetData>
    <row r="1" spans="1:3" ht="27.95" customHeight="1">
      <c r="A1" s="2" t="s">
        <v>44</v>
      </c>
      <c r="B1" s="2"/>
      <c r="C1" s="2"/>
    </row>
    <row r="2" spans="1:3">
      <c r="A2" s="3"/>
      <c r="B2" s="3"/>
      <c r="C2" s="3"/>
    </row>
    <row r="3" spans="1:3" ht="27.95" customHeight="1">
      <c r="A3" s="5" t="s">
        <v>45</v>
      </c>
      <c r="B3" s="5" t="s">
        <v>46</v>
      </c>
      <c r="C3" s="5" t="s">
        <v>47</v>
      </c>
    </row>
    <row r="4" spans="1:3">
      <c r="A4" s="3" t="s">
        <v>48</v>
      </c>
      <c r="B4" s="3">
        <v>83900000</v>
      </c>
      <c r="C4" s="3" t="s">
        <v>49</v>
      </c>
    </row>
    <row r="5" spans="1:3">
      <c r="A5" s="3" t="s">
        <v>50</v>
      </c>
      <c r="B5" s="3">
        <v>661</v>
      </c>
      <c r="C5" s="3" t="s">
        <v>49</v>
      </c>
    </row>
    <row r="6" spans="1:3">
      <c r="A6" s="3" t="s">
        <v>51</v>
      </c>
      <c r="B6" s="3">
        <v>1560</v>
      </c>
      <c r="C6" s="3" t="s">
        <v>52</v>
      </c>
    </row>
    <row r="7" spans="1:3">
      <c r="A7" s="3" t="s">
        <v>53</v>
      </c>
      <c r="B7" s="9">
        <v>0.05</v>
      </c>
      <c r="C7" s="3" t="s">
        <v>54</v>
      </c>
    </row>
    <row r="8" spans="1:3">
      <c r="A8" s="3" t="s">
        <v>55</v>
      </c>
      <c r="B8" s="3">
        <v>3</v>
      </c>
      <c r="C8" s="3" t="s">
        <v>56</v>
      </c>
    </row>
    <row r="9" spans="1:3">
      <c r="A9" s="3" t="s">
        <v>57</v>
      </c>
      <c r="B9" s="9">
        <v>0.85</v>
      </c>
      <c r="C9" s="3" t="s">
        <v>58</v>
      </c>
    </row>
    <row r="10" spans="1:3">
      <c r="A10" s="3" t="s">
        <v>59</v>
      </c>
      <c r="B10" s="9">
        <v>0.82499999999999996</v>
      </c>
      <c r="C10" s="3" t="s">
        <v>60</v>
      </c>
    </row>
    <row r="11" spans="1:3">
      <c r="A11" s="3" t="s">
        <v>61</v>
      </c>
      <c r="B11" s="9">
        <v>0.7</v>
      </c>
      <c r="C11" s="3" t="s">
        <v>58</v>
      </c>
    </row>
    <row r="12" spans="1:3">
      <c r="A12" s="3" t="s">
        <v>62</v>
      </c>
      <c r="B12" s="9">
        <v>0.55000000000000004</v>
      </c>
      <c r="C12" s="3" t="s">
        <v>63</v>
      </c>
    </row>
    <row r="13" spans="1:3">
      <c r="A13" s="3" t="s">
        <v>64</v>
      </c>
      <c r="B13" s="9">
        <v>0.45</v>
      </c>
      <c r="C13" s="3" t="s">
        <v>65</v>
      </c>
    </row>
    <row r="14" spans="1:3">
      <c r="A14" s="3" t="s">
        <v>66</v>
      </c>
      <c r="B14" s="9">
        <v>0.25</v>
      </c>
      <c r="C14" s="3" t="s">
        <v>67</v>
      </c>
    </row>
    <row r="15" spans="1:3">
      <c r="A15" s="3" t="s">
        <v>68</v>
      </c>
      <c r="B15" s="9">
        <v>0.6</v>
      </c>
      <c r="C15" s="3" t="s">
        <v>69</v>
      </c>
    </row>
    <row r="16" spans="1:3">
      <c r="A16" s="3" t="s">
        <v>70</v>
      </c>
      <c r="B16" s="3">
        <v>4900</v>
      </c>
      <c r="C16" s="3" t="s">
        <v>71</v>
      </c>
    </row>
    <row r="17" spans="1:3">
      <c r="A17" s="3" t="s">
        <v>72</v>
      </c>
      <c r="B17" s="3">
        <v>480</v>
      </c>
      <c r="C17" s="3" t="s">
        <v>73</v>
      </c>
    </row>
    <row r="18" spans="1:3">
      <c r="A18" s="3" t="s">
        <v>74</v>
      </c>
      <c r="B18" s="3">
        <v>12</v>
      </c>
      <c r="C18" s="3" t="s">
        <v>75</v>
      </c>
    </row>
    <row r="19" spans="1:3">
      <c r="A19" s="3" t="s">
        <v>76</v>
      </c>
      <c r="B19" s="3">
        <v>137</v>
      </c>
      <c r="C19" s="3" t="s">
        <v>77</v>
      </c>
    </row>
    <row r="20" spans="1:3">
      <c r="A20" s="3" t="s">
        <v>78</v>
      </c>
      <c r="B20" s="3">
        <v>6</v>
      </c>
      <c r="C20" s="3" t="s">
        <v>79</v>
      </c>
    </row>
    <row r="21" spans="1:3">
      <c r="A21" s="3" t="s">
        <v>80</v>
      </c>
      <c r="B21" s="9">
        <v>0.7</v>
      </c>
      <c r="C21" s="3" t="s">
        <v>81</v>
      </c>
    </row>
    <row r="22" spans="1:3">
      <c r="A22" s="3" t="s">
        <v>82</v>
      </c>
      <c r="B22" s="9">
        <v>0.7</v>
      </c>
      <c r="C22" s="3" t="s">
        <v>83</v>
      </c>
    </row>
    <row r="23" spans="1:3">
      <c r="A23" s="3"/>
      <c r="B23" s="3"/>
      <c r="C23" s="3"/>
    </row>
    <row r="24" spans="1:3" ht="26.1" customHeight="1">
      <c r="A24" s="5" t="s">
        <v>84</v>
      </c>
      <c r="B24" s="5" t="s">
        <v>85</v>
      </c>
      <c r="C24" s="5" t="s">
        <v>86</v>
      </c>
    </row>
    <row r="25" spans="1:3">
      <c r="A25" s="3" t="s">
        <v>87</v>
      </c>
      <c r="B25" s="3">
        <f>B4/B5/B6</f>
        <v>81.364676674812827</v>
      </c>
      <c r="C25" s="3" t="s">
        <v>88</v>
      </c>
    </row>
    <row r="26" spans="1:3">
      <c r="A26" s="3" t="s">
        <v>89</v>
      </c>
      <c r="B26" s="3">
        <f>B25*(B9*B10-B11*B12)/(1-B13)</f>
        <v>46.784689088017359</v>
      </c>
      <c r="C26" s="3" t="s">
        <v>90</v>
      </c>
    </row>
    <row r="27" spans="1:3">
      <c r="A27" s="3" t="s">
        <v>91</v>
      </c>
      <c r="B27" s="3">
        <f>B25*B7*B8</f>
        <v>12.204701501221923</v>
      </c>
      <c r="C27" s="3" t="s">
        <v>92</v>
      </c>
    </row>
    <row r="28" spans="1:3">
      <c r="A28" s="3" t="s">
        <v>93</v>
      </c>
      <c r="B28" s="3">
        <f>B15*(B27+B26*B14)</f>
        <v>14.340524263935757</v>
      </c>
      <c r="C28" s="3" t="s">
        <v>94</v>
      </c>
    </row>
    <row r="29" spans="1:3">
      <c r="A29" s="3" t="s">
        <v>95</v>
      </c>
      <c r="B29" s="3">
        <f>B16/B6</f>
        <v>3.141025641025641</v>
      </c>
      <c r="C29" s="3" t="s">
        <v>96</v>
      </c>
    </row>
    <row r="30" spans="1:3">
      <c r="A30" s="3" t="s">
        <v>97</v>
      </c>
      <c r="B30" s="3">
        <f>B19*12/B20</f>
        <v>274</v>
      </c>
      <c r="C30" s="3" t="s">
        <v>98</v>
      </c>
    </row>
    <row r="31" spans="1:3">
      <c r="A31" s="3" t="s">
        <v>99</v>
      </c>
      <c r="B31" s="3">
        <f>B17*B18*B22</f>
        <v>4031.9999999999995</v>
      </c>
      <c r="C31" s="3" t="s">
        <v>100</v>
      </c>
    </row>
    <row r="32" spans="1:3">
      <c r="A32" s="3" t="s">
        <v>101</v>
      </c>
      <c r="B32" s="3">
        <f>B30*B21*(B28+B29)</f>
        <v>3352.9612717715959</v>
      </c>
      <c r="C32" s="3" t="s">
        <v>102</v>
      </c>
    </row>
    <row r="33" spans="1:3">
      <c r="A33" s="3" t="s">
        <v>103</v>
      </c>
      <c r="B33" s="3">
        <f>B31+B32</f>
        <v>7384.9612717715954</v>
      </c>
      <c r="C33" s="3" t="s">
        <v>104</v>
      </c>
    </row>
    <row r="34" spans="1:3">
      <c r="A34" s="3" t="s">
        <v>105</v>
      </c>
      <c r="B34" s="3">
        <f>Costos!B17</f>
        <v>15530</v>
      </c>
      <c r="C34" s="3" t="s">
        <v>106</v>
      </c>
    </row>
    <row r="35" spans="1:3">
      <c r="A35" s="3" t="s">
        <v>107</v>
      </c>
      <c r="B35" s="9">
        <f>(B33-B34)/B34</f>
        <v>-0.52447126389107568</v>
      </c>
      <c r="C35" s="3" t="s">
        <v>108</v>
      </c>
    </row>
    <row r="36" spans="1:3">
      <c r="A36" s="3" t="s">
        <v>109</v>
      </c>
      <c r="B36" s="11">
        <f>B34/B33*12</f>
        <v>25.235068017532562</v>
      </c>
      <c r="C36" s="3" t="s">
        <v>110</v>
      </c>
    </row>
    <row r="37" spans="1:3">
      <c r="A37" s="3" t="s">
        <v>111</v>
      </c>
      <c r="B37" s="11">
        <f>IF(B33&gt;Costos!C16,Costos!B15/(B33-Costos!C16)*12,"No recupera")</f>
        <v>80.591663980610633</v>
      </c>
      <c r="C37" s="3" t="s">
        <v>112</v>
      </c>
    </row>
    <row r="38" spans="1:3">
      <c r="A38" s="3"/>
      <c r="B38" s="3"/>
      <c r="C38" s="3"/>
    </row>
    <row r="39" spans="1:3" ht="27.95" customHeight="1">
      <c r="A39" s="15" t="s">
        <v>113</v>
      </c>
      <c r="B39" s="15" t="s">
        <v>85</v>
      </c>
      <c r="C39" s="15" t="s">
        <v>114</v>
      </c>
    </row>
    <row r="40" spans="1:3" ht="26.1" customHeight="1">
      <c r="A40" s="3" t="s">
        <v>115</v>
      </c>
      <c r="B40" s="3">
        <f>Costos!B15+Costos!C16*3</f>
        <v>27450</v>
      </c>
      <c r="C40" s="3" t="s">
        <v>116</v>
      </c>
    </row>
    <row r="41" spans="1:3" ht="26.1" customHeight="1">
      <c r="A41" s="3" t="s">
        <v>117</v>
      </c>
      <c r="B41" s="9">
        <f>(3*B33-B40)/B40</f>
        <v>-0.19290040745665618</v>
      </c>
      <c r="C41" s="3" t="s">
        <v>118</v>
      </c>
    </row>
    <row r="42" spans="1:3" ht="26.1" customHeight="1">
      <c r="A42" s="3" t="s">
        <v>119</v>
      </c>
      <c r="B42" s="3">
        <f>Costos!C16+Costos!B15/3</f>
        <v>9150</v>
      </c>
      <c r="C42" s="3" t="s">
        <v>120</v>
      </c>
    </row>
    <row r="43" spans="1:3" ht="26.1" customHeight="1">
      <c r="A43" s="3" t="s">
        <v>121</v>
      </c>
      <c r="B43" s="3">
        <f>Costos!B17</f>
        <v>15530</v>
      </c>
      <c r="C43" s="3" t="s">
        <v>122</v>
      </c>
    </row>
    <row r="44" spans="1:3" ht="26.1" customHeight="1">
      <c r="A44" s="3" t="s">
        <v>123</v>
      </c>
      <c r="B44" s="3">
        <f>Costos!C16+Costos!B15/2</f>
        <v>10745</v>
      </c>
      <c r="C44" s="3" t="s">
        <v>124</v>
      </c>
    </row>
    <row r="45" spans="1:3" ht="26.1" customHeight="1">
      <c r="A45" s="3" t="s">
        <v>125</v>
      </c>
      <c r="B45" s="3">
        <f>B42-B33</f>
        <v>1765.0387282284046</v>
      </c>
      <c r="C45" s="3" t="s">
        <v>126</v>
      </c>
    </row>
    <row r="46" spans="1:3" ht="26.1" customHeight="1">
      <c r="A46" s="3" t="s">
        <v>127</v>
      </c>
      <c r="B46" s="9">
        <f>B45/B33</f>
        <v>0.23900446641137027</v>
      </c>
      <c r="C46" s="3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0"/>
  <sheetViews>
    <sheetView workbookViewId="0"/>
  </sheetViews>
  <sheetFormatPr baseColWidth="10" defaultColWidth="9" defaultRowHeight="14.25"/>
  <cols>
    <col min="1" max="1" width="47" customWidth="1"/>
    <col min="2" max="2" width="26" customWidth="1"/>
    <col min="3" max="3" width="18" customWidth="1"/>
    <col min="4" max="4" width="19" customWidth="1"/>
    <col min="5" max="5" width="37" customWidth="1"/>
    <col min="6" max="6" width="23" customWidth="1"/>
    <col min="7" max="7" width="27" customWidth="1"/>
    <col min="8" max="8" width="28" customWidth="1"/>
    <col min="9" max="9" width="20" customWidth="1"/>
    <col min="10" max="10" width="15" customWidth="1"/>
    <col min="11" max="11" width="20" customWidth="1"/>
  </cols>
  <sheetData>
    <row r="1" spans="1:11" ht="27.95" customHeight="1">
      <c r="A1" s="2" t="s">
        <v>129</v>
      </c>
      <c r="B1" s="2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/>
      <c r="B2" s="3"/>
    </row>
    <row r="3" spans="1:11" ht="56.1" customHeight="1">
      <c r="A3" s="5" t="s">
        <v>130</v>
      </c>
      <c r="B3" s="5" t="s">
        <v>131</v>
      </c>
      <c r="C3" s="5" t="s">
        <v>132</v>
      </c>
      <c r="D3" s="5" t="s">
        <v>133</v>
      </c>
      <c r="E3" s="5" t="s">
        <v>134</v>
      </c>
      <c r="F3" s="5" t="s">
        <v>135</v>
      </c>
      <c r="G3" s="5" t="s">
        <v>136</v>
      </c>
      <c r="H3" s="5" t="s">
        <v>137</v>
      </c>
      <c r="I3" s="5" t="s">
        <v>138</v>
      </c>
      <c r="J3" s="5" t="s">
        <v>139</v>
      </c>
      <c r="K3" s="5" t="s">
        <v>140</v>
      </c>
    </row>
    <row r="4" spans="1:11" ht="30" customHeight="1">
      <c r="A4" s="3" t="s">
        <v>141</v>
      </c>
      <c r="B4" s="12">
        <v>0.6</v>
      </c>
      <c r="C4" s="13">
        <v>0.5</v>
      </c>
      <c r="D4" s="13">
        <v>0.15</v>
      </c>
      <c r="E4" s="13">
        <v>0.5</v>
      </c>
      <c r="F4">
        <f>C4*(Supuestos!B27+Supuestos!B26*D4)</f>
        <v>9.6112024322122629</v>
      </c>
      <c r="G4">
        <f>Supuestos!B30*B4*(F4+Supuestos!B29)</f>
        <v>2096.4662952403114</v>
      </c>
      <c r="H4">
        <f>Supuestos!B17*Supuestos!B18*E4</f>
        <v>2880</v>
      </c>
      <c r="I4">
        <f>G4+H4</f>
        <v>4976.4662952403114</v>
      </c>
      <c r="J4" s="14">
        <f>(I4-Costos!B17)/Costos!B17</f>
        <v>-0.67955786894782277</v>
      </c>
      <c r="K4">
        <f>Costos!B17/I4*12</f>
        <v>37.448259255416247</v>
      </c>
    </row>
    <row r="5" spans="1:11" ht="30" customHeight="1">
      <c r="A5" s="3" t="s">
        <v>142</v>
      </c>
      <c r="B5" s="12">
        <v>0.7</v>
      </c>
      <c r="C5" s="13">
        <v>0.6</v>
      </c>
      <c r="D5" s="13">
        <v>0.25</v>
      </c>
      <c r="E5" s="13">
        <v>0.7</v>
      </c>
      <c r="F5">
        <f>C5*(Supuestos!B27+Supuestos!B26*D5)</f>
        <v>14.340524263935757</v>
      </c>
      <c r="G5">
        <f>Supuestos!B30*B5*(F5+Supuestos!B29)</f>
        <v>3352.9612717715959</v>
      </c>
      <c r="H5">
        <f>Supuestos!B17*Supuestos!B18*E5</f>
        <v>4031.9999999999995</v>
      </c>
      <c r="I5">
        <f>G5+H5</f>
        <v>7384.9612717715954</v>
      </c>
      <c r="J5" s="14">
        <f>(I5-Costos!B17)/Costos!B17</f>
        <v>-0.52447126389107568</v>
      </c>
      <c r="K5">
        <f>Costos!B17/I5*12</f>
        <v>25.235068017532562</v>
      </c>
    </row>
    <row r="6" spans="1:11" ht="30" customHeight="1">
      <c r="A6" s="3" t="s">
        <v>143</v>
      </c>
      <c r="B6" s="12">
        <v>0.8</v>
      </c>
      <c r="C6" s="13">
        <v>0.85</v>
      </c>
      <c r="D6" s="13">
        <v>0.4</v>
      </c>
      <c r="E6" s="13">
        <v>0.9</v>
      </c>
      <c r="F6">
        <f>C6*(Supuestos!B27+Supuestos!B26*D6)</f>
        <v>26.280790565964534</v>
      </c>
      <c r="G6">
        <f>Supuestos!B30*B6*(F6+Supuestos!B29)</f>
        <v>6449.2621125722471</v>
      </c>
      <c r="H6">
        <f>Supuestos!B17*Supuestos!B18*E6</f>
        <v>5184</v>
      </c>
      <c r="I6">
        <f>G6+H6</f>
        <v>11633.262112572247</v>
      </c>
      <c r="J6" s="14">
        <f>(I6-Costos!B17)/Costos!B17</f>
        <v>-0.25091679893288815</v>
      </c>
      <c r="K6">
        <f>Costos!B17/I6*12</f>
        <v>16.019582314628487</v>
      </c>
    </row>
    <row r="7" spans="1:11">
      <c r="A7" s="3"/>
      <c r="B7" s="3"/>
    </row>
    <row r="8" spans="1:11" ht="42.75">
      <c r="A8" s="3" t="s">
        <v>144</v>
      </c>
      <c r="B8" s="3" t="s">
        <v>145</v>
      </c>
    </row>
    <row r="9" spans="1:11" ht="28.5">
      <c r="A9" s="3" t="s">
        <v>146</v>
      </c>
      <c r="B9" s="3" t="s">
        <v>147</v>
      </c>
    </row>
    <row r="10" spans="1:11" ht="42.75">
      <c r="A10" s="3" t="s">
        <v>148</v>
      </c>
      <c r="B10" s="3" t="s">
        <v>149</v>
      </c>
    </row>
    <row r="11" spans="1:11" ht="42.75">
      <c r="A11" s="3" t="s">
        <v>150</v>
      </c>
      <c r="B11" s="3" t="s">
        <v>151</v>
      </c>
    </row>
    <row r="12" spans="1:11">
      <c r="A12" s="3"/>
      <c r="B12" s="3"/>
    </row>
    <row r="13" spans="1:11" ht="36" customHeight="1">
      <c r="A13" s="15" t="s">
        <v>152</v>
      </c>
      <c r="B13" s="15" t="s">
        <v>153</v>
      </c>
      <c r="C13" s="15" t="s">
        <v>154</v>
      </c>
      <c r="D13" s="15" t="s">
        <v>155</v>
      </c>
      <c r="E13" s="15" t="s">
        <v>156</v>
      </c>
    </row>
    <row r="14" spans="1:11" ht="27" customHeight="1">
      <c r="A14" s="3" t="str">
        <f>A4</f>
        <v>Conservador</v>
      </c>
      <c r="B14" s="3">
        <f>I4</f>
        <v>4976.4662952403114</v>
      </c>
      <c r="C14" s="9">
        <f>(B14*3-(Costos!B15+Costos!C16*3))/(Costos!B15+Costos!C16*3)</f>
        <v>-0.45612390215952886</v>
      </c>
      <c r="D14" s="11" t="str">
        <f>IF(B14&gt;Costos!C16,Costos!B15/(B14-Costos!C16)*12,"No recupera")</f>
        <v>No recupera</v>
      </c>
      <c r="E14" s="3" t="s">
        <v>157</v>
      </c>
    </row>
    <row r="15" spans="1:11" ht="27" customHeight="1">
      <c r="A15" s="3" t="str">
        <f>A5</f>
        <v>Esperado</v>
      </c>
      <c r="B15" s="3">
        <f>I5</f>
        <v>7384.9612717715954</v>
      </c>
      <c r="C15" s="9">
        <f>(B15*3-(Costos!B15+Costos!C16*3))/(Costos!B15+Costos!C16*3)</f>
        <v>-0.19290040745665618</v>
      </c>
      <c r="D15" s="11">
        <f>IF(B15&gt;Costos!C16,Costos!B15/(B15-Costos!C16)*12,"No recupera")</f>
        <v>80.591663980610633</v>
      </c>
      <c r="E15" s="3" t="s">
        <v>157</v>
      </c>
    </row>
    <row r="16" spans="1:11" ht="27" customHeight="1">
      <c r="A16" s="3" t="str">
        <f>A6</f>
        <v>Optimista</v>
      </c>
      <c r="B16" s="3">
        <f>I6</f>
        <v>11633.262112572247</v>
      </c>
      <c r="C16" s="9">
        <f>(B16*3-(Costos!B15+Costos!C16*3))/(Costos!B15+Costos!C16*3)</f>
        <v>0.27139476640133836</v>
      </c>
      <c r="D16" s="11">
        <f>IF(B16&gt;Costos!C16,Costos!B15/(B16-Costos!C16)*12,"No recupera")</f>
        <v>20.242322269141862</v>
      </c>
      <c r="E16" s="3" t="s">
        <v>157</v>
      </c>
    </row>
    <row r="17" spans="1:2">
      <c r="A17" s="3"/>
      <c r="B17" s="3"/>
    </row>
    <row r="18" spans="1:2">
      <c r="A18" s="3"/>
      <c r="B18" s="3"/>
    </row>
    <row r="19" spans="1:2">
      <c r="A19" s="3"/>
      <c r="B19" s="3"/>
    </row>
    <row r="20" spans="1:2">
      <c r="A20" s="3"/>
      <c r="B20" s="3"/>
    </row>
    <row r="21" spans="1:2">
      <c r="A21" s="3"/>
      <c r="B21" s="3"/>
    </row>
    <row r="22" spans="1:2">
      <c r="A22" s="3"/>
      <c r="B22" s="3"/>
    </row>
    <row r="23" spans="1:2">
      <c r="A23" s="3"/>
      <c r="B23" s="3"/>
    </row>
    <row r="24" spans="1:2">
      <c r="A24" s="3"/>
      <c r="B24" s="3"/>
    </row>
    <row r="25" spans="1:2">
      <c r="A25" s="3"/>
      <c r="B25" s="3"/>
    </row>
    <row r="26" spans="1:2">
      <c r="A26" s="3"/>
      <c r="B26" s="3"/>
    </row>
    <row r="27" spans="1:2">
      <c r="A27" s="3"/>
      <c r="B27" s="3"/>
    </row>
    <row r="28" spans="1:2">
      <c r="A28" s="3"/>
      <c r="B28" s="3"/>
    </row>
    <row r="29" spans="1:2">
      <c r="A29" s="3"/>
      <c r="B29" s="3"/>
    </row>
    <row r="30" spans="1:2">
      <c r="A30" s="3"/>
      <c r="B30" s="3"/>
    </row>
    <row r="31" spans="1:2">
      <c r="A31" s="3"/>
      <c r="B31" s="3"/>
    </row>
    <row r="32" spans="1:2">
      <c r="A32" s="3"/>
      <c r="B32" s="3"/>
    </row>
    <row r="33" spans="1:2">
      <c r="A33" s="3"/>
      <c r="B33" s="3"/>
    </row>
    <row r="34" spans="1:2">
      <c r="A34" s="3"/>
      <c r="B34" s="3"/>
    </row>
    <row r="35" spans="1:2">
      <c r="A35" s="3"/>
      <c r="B35" s="3"/>
    </row>
    <row r="36" spans="1:2">
      <c r="A36" s="3"/>
      <c r="B36" s="3"/>
    </row>
    <row r="37" spans="1:2">
      <c r="A37" s="3"/>
      <c r="B37" s="3"/>
    </row>
    <row r="38" spans="1:2">
      <c r="A38" s="3"/>
      <c r="B38" s="3"/>
    </row>
    <row r="39" spans="1:2">
      <c r="A39" s="3"/>
      <c r="B39" s="3"/>
    </row>
    <row r="40" spans="1:2">
      <c r="A40" s="3"/>
      <c r="B4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0"/>
  <sheetViews>
    <sheetView workbookViewId="0"/>
  </sheetViews>
  <sheetFormatPr baseColWidth="10" defaultColWidth="9" defaultRowHeight="14.25"/>
  <cols>
    <col min="1" max="1" width="56" customWidth="1"/>
    <col min="2" max="6" width="19" customWidth="1"/>
  </cols>
  <sheetData>
    <row r="1" spans="1:6" ht="27.95" customHeight="1">
      <c r="A1" s="2" t="s">
        <v>158</v>
      </c>
      <c r="B1" s="2"/>
      <c r="C1" s="1"/>
      <c r="D1" s="1"/>
      <c r="E1" s="1"/>
      <c r="F1" s="1"/>
    </row>
    <row r="2" spans="1:6">
      <c r="A2" s="3"/>
      <c r="B2" s="3"/>
    </row>
    <row r="3" spans="1:6" ht="36.950000000000003" customHeight="1">
      <c r="A3" s="5" t="s">
        <v>159</v>
      </c>
      <c r="B3" s="5" t="s">
        <v>160</v>
      </c>
      <c r="C3" s="5" t="s">
        <v>161</v>
      </c>
      <c r="D3" s="5" t="s">
        <v>162</v>
      </c>
      <c r="E3" s="5" t="s">
        <v>163</v>
      </c>
      <c r="F3" s="5" t="s">
        <v>164</v>
      </c>
    </row>
    <row r="4" spans="1:6">
      <c r="A4" s="3" t="s">
        <v>165</v>
      </c>
      <c r="B4" s="3">
        <v>448</v>
      </c>
      <c r="C4">
        <v>3152</v>
      </c>
      <c r="D4">
        <v>406</v>
      </c>
      <c r="E4">
        <v>34356</v>
      </c>
      <c r="F4" s="14">
        <v>0.52459016390000002</v>
      </c>
    </row>
    <row r="5" spans="1:6">
      <c r="A5" s="3" t="s">
        <v>166</v>
      </c>
      <c r="B5" s="3">
        <v>571</v>
      </c>
      <c r="C5">
        <v>3029</v>
      </c>
      <c r="D5">
        <v>283</v>
      </c>
      <c r="E5">
        <v>34479</v>
      </c>
      <c r="F5" s="14">
        <v>0.66861826700000004</v>
      </c>
    </row>
    <row r="6" spans="1:6">
      <c r="A6" s="3" t="s">
        <v>167</v>
      </c>
      <c r="B6" s="3">
        <v>585</v>
      </c>
      <c r="C6">
        <v>3015</v>
      </c>
      <c r="D6">
        <v>269</v>
      </c>
      <c r="E6">
        <v>34493</v>
      </c>
      <c r="F6" s="14">
        <v>0.68501170960000002</v>
      </c>
    </row>
    <row r="7" spans="1:6">
      <c r="A7" s="3"/>
      <c r="B7" s="3"/>
    </row>
    <row r="8" spans="1:6" ht="27" customHeight="1">
      <c r="A8" s="5" t="s">
        <v>168</v>
      </c>
      <c r="B8" s="5" t="s">
        <v>169</v>
      </c>
      <c r="C8" s="6" t="s">
        <v>170</v>
      </c>
    </row>
    <row r="9" spans="1:6">
      <c r="A9" s="3" t="s">
        <v>171</v>
      </c>
      <c r="B9" s="3">
        <f>Supuestos!B21*(B6*Supuestos!B28-C6*Supuestos!B29)</f>
        <v>-756.68992930292256</v>
      </c>
      <c r="C9" t="s">
        <v>172</v>
      </c>
    </row>
    <row r="10" spans="1:6">
      <c r="A10" s="3" t="s">
        <v>173</v>
      </c>
      <c r="B10" s="3">
        <f>Supuestos!B21*(B4*Supuestos!B28-C4*Supuestos!B29)</f>
        <v>-2433.170565188721</v>
      </c>
      <c r="C10" t="s">
        <v>174</v>
      </c>
    </row>
    <row r="11" spans="1:6">
      <c r="A11" s="3" t="s">
        <v>175</v>
      </c>
      <c r="B11" s="3">
        <f>B9-B10</f>
        <v>1676.4806358857984</v>
      </c>
      <c r="C11" t="s">
        <v>176</v>
      </c>
    </row>
    <row r="12" spans="1:6">
      <c r="A12" s="3" t="s">
        <v>177</v>
      </c>
      <c r="B12" s="3">
        <f>B11*2</f>
        <v>3352.9612717715968</v>
      </c>
      <c r="C12" t="s">
        <v>178</v>
      </c>
    </row>
    <row r="13" spans="1:6">
      <c r="A13" s="3"/>
      <c r="B13" s="3"/>
    </row>
    <row r="14" spans="1:6" ht="27" customHeight="1">
      <c r="A14" s="18" t="s">
        <v>179</v>
      </c>
      <c r="B14" s="18"/>
      <c r="C14" s="19"/>
      <c r="D14" s="19"/>
      <c r="E14" s="19"/>
      <c r="F14" s="19"/>
    </row>
    <row r="15" spans="1:6" ht="30.95" customHeight="1">
      <c r="A15" s="17" t="s">
        <v>180</v>
      </c>
      <c r="B15" s="17" t="s">
        <v>160</v>
      </c>
      <c r="C15" s="17" t="s">
        <v>161</v>
      </c>
      <c r="D15" s="17" t="s">
        <v>162</v>
      </c>
      <c r="E15" s="17" t="s">
        <v>163</v>
      </c>
      <c r="F15" s="17" t="s">
        <v>164</v>
      </c>
    </row>
    <row r="16" spans="1:6" ht="32.1" customHeight="1">
      <c r="A16" s="3" t="s">
        <v>181</v>
      </c>
      <c r="B16" s="3">
        <v>258</v>
      </c>
      <c r="C16">
        <v>792</v>
      </c>
      <c r="D16">
        <v>596</v>
      </c>
      <c r="E16">
        <v>36716</v>
      </c>
      <c r="F16" s="21">
        <f>B16/(B16+D16)</f>
        <v>0.30210772833723654</v>
      </c>
    </row>
    <row r="17" spans="1:2">
      <c r="A17" s="3"/>
      <c r="B17" s="3"/>
    </row>
    <row r="18" spans="1:2" ht="21" customHeight="1">
      <c r="A18" s="20" t="s">
        <v>182</v>
      </c>
      <c r="B18" s="22">
        <f>Supuestos!B21*(B16*Supuestos!B28-C16*Supuestos!B29)</f>
        <v>848.51406668218237</v>
      </c>
    </row>
    <row r="19" spans="1:2" ht="21" customHeight="1">
      <c r="A19" s="20" t="s">
        <v>183</v>
      </c>
      <c r="B19" s="22">
        <f>B9-B18</f>
        <v>-1605.2039959851049</v>
      </c>
    </row>
    <row r="20" spans="1:2">
      <c r="A20" s="3"/>
      <c r="B20" s="3"/>
    </row>
    <row r="21" spans="1:2" ht="45" customHeight="1">
      <c r="A21" s="3" t="s">
        <v>184</v>
      </c>
      <c r="B21" s="3"/>
    </row>
    <row r="22" spans="1:2">
      <c r="A22" s="3"/>
      <c r="B22" s="3"/>
    </row>
    <row r="23" spans="1:2">
      <c r="A23" s="3"/>
      <c r="B23" s="3"/>
    </row>
    <row r="24" spans="1:2">
      <c r="A24" s="3"/>
      <c r="B24" s="3"/>
    </row>
    <row r="25" spans="1:2">
      <c r="A25" s="3"/>
      <c r="B25" s="3"/>
    </row>
    <row r="26" spans="1:2">
      <c r="A26" s="3"/>
      <c r="B26" s="3"/>
    </row>
    <row r="27" spans="1:2">
      <c r="A27" s="3"/>
      <c r="B27" s="3"/>
    </row>
    <row r="28" spans="1:2">
      <c r="A28" s="3"/>
      <c r="B28" s="3"/>
    </row>
    <row r="29" spans="1:2">
      <c r="A29" s="3"/>
      <c r="B29" s="3"/>
    </row>
    <row r="30" spans="1:2">
      <c r="A30" s="3"/>
      <c r="B30" s="3"/>
    </row>
    <row r="31" spans="1:2">
      <c r="A31" s="3"/>
      <c r="B31" s="3"/>
    </row>
    <row r="32" spans="1:2">
      <c r="A32" s="3"/>
      <c r="B32" s="3"/>
    </row>
    <row r="33" spans="1:2">
      <c r="A33" s="3"/>
      <c r="B33" s="3"/>
    </row>
    <row r="34" spans="1:2">
      <c r="A34" s="3"/>
      <c r="B34" s="3"/>
    </row>
    <row r="35" spans="1:2">
      <c r="A35" s="3"/>
      <c r="B35" s="3"/>
    </row>
    <row r="36" spans="1:2">
      <c r="A36" s="3"/>
      <c r="B36" s="3"/>
    </row>
    <row r="37" spans="1:2">
      <c r="A37" s="3"/>
      <c r="B37" s="3"/>
    </row>
    <row r="38" spans="1:2">
      <c r="A38" s="3"/>
      <c r="B38" s="3"/>
    </row>
    <row r="39" spans="1:2">
      <c r="A39" s="3"/>
      <c r="B39" s="3"/>
    </row>
    <row r="40" spans="1:2">
      <c r="A40" s="3"/>
      <c r="B4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/>
  </sheetViews>
  <sheetFormatPr baseColWidth="10" defaultColWidth="9" defaultRowHeight="14.25"/>
  <cols>
    <col min="1" max="1" width="43" customWidth="1"/>
    <col min="2" max="2" width="53" customWidth="1"/>
    <col min="3" max="3" width="27" customWidth="1"/>
    <col min="4" max="4" width="20" customWidth="1"/>
  </cols>
  <sheetData>
    <row r="1" spans="1:4" ht="30" customHeight="1">
      <c r="A1" s="16" t="s">
        <v>185</v>
      </c>
      <c r="B1" s="16"/>
      <c r="C1" s="16"/>
      <c r="D1" s="16"/>
    </row>
    <row r="3" spans="1:4" ht="26.1" customHeight="1">
      <c r="A3" s="15" t="s">
        <v>186</v>
      </c>
      <c r="B3" s="15" t="s">
        <v>187</v>
      </c>
      <c r="C3" s="15" t="s">
        <v>153</v>
      </c>
      <c r="D3" s="15" t="s">
        <v>139</v>
      </c>
    </row>
    <row r="4" spans="1:4" ht="27.95" customHeight="1">
      <c r="A4" s="3" t="s">
        <v>188</v>
      </c>
      <c r="B4" s="3" t="s">
        <v>189</v>
      </c>
      <c r="C4" s="3">
        <f>Supuestos!B33</f>
        <v>7384.9612717715954</v>
      </c>
      <c r="D4" s="9">
        <f>(C4-Costos!B17)/Costos!B17</f>
        <v>-0.52447126389107568</v>
      </c>
    </row>
    <row r="5" spans="1:4" ht="27.95" customHeight="1">
      <c r="A5" s="3" t="s">
        <v>190</v>
      </c>
      <c r="B5" s="3" t="s">
        <v>191</v>
      </c>
      <c r="C5" s="3">
        <f>Supuestos!B31+Supuestos!B32*60/70</f>
        <v>6905.9668043756537</v>
      </c>
      <c r="D5" s="9">
        <f>(C5-Costos!B17)/Costos!B17</f>
        <v>-0.55531443629261723</v>
      </c>
    </row>
    <row r="6" spans="1:4" ht="27.95" customHeight="1">
      <c r="A6" s="3" t="s">
        <v>192</v>
      </c>
      <c r="B6" s="3" t="s">
        <v>193</v>
      </c>
      <c r="C6" s="3">
        <f>Supuestos!B33-Supuestos!B30*Supuestos!B21*(Supuestos!B28*0.5)</f>
        <v>6009.7049948601561</v>
      </c>
      <c r="D6" s="9">
        <f>(C6-Costos!B17)/Costos!B17</f>
        <v>-0.61302607888859262</v>
      </c>
    </row>
    <row r="7" spans="1:4" ht="27.95" customHeight="1">
      <c r="A7" s="3" t="s">
        <v>194</v>
      </c>
      <c r="B7" s="3" t="s">
        <v>195</v>
      </c>
      <c r="C7" s="3">
        <f>Supuestos!B31+Supuestos!B32*96/137</f>
        <v>6381.5203072268114</v>
      </c>
      <c r="D7" s="9">
        <f>(C7-Costos!B17)/Costos!B17</f>
        <v>-0.58908433308262642</v>
      </c>
    </row>
    <row r="8" spans="1:4" ht="27.95" customHeight="1">
      <c r="A8" s="3" t="s">
        <v>196</v>
      </c>
      <c r="B8" s="3" t="s">
        <v>197</v>
      </c>
      <c r="C8" s="3">
        <f>Supuestos!B33</f>
        <v>7384.9612717715954</v>
      </c>
      <c r="D8" s="9">
        <f>(C8-(Costos!B17+1100))/(Costos!B17+1100)</f>
        <v>-0.55592535948457034</v>
      </c>
    </row>
    <row r="9" spans="1:4" ht="27.95" customHeight="1">
      <c r="A9" s="3" t="s">
        <v>198</v>
      </c>
      <c r="B9" s="3" t="s">
        <v>199</v>
      </c>
      <c r="C9" s="3">
        <f>Supuestos!B32+Supuestos!B31/2</f>
        <v>5368.9612717715954</v>
      </c>
      <c r="D9" s="9">
        <f>(C9-Costos!B17)/Costos!B17</f>
        <v>-0.65428452854014196</v>
      </c>
    </row>
    <row r="10" spans="1:4" ht="27.95" customHeight="1">
      <c r="A10" s="3" t="s">
        <v>200</v>
      </c>
      <c r="B10" s="3" t="s">
        <v>201</v>
      </c>
      <c r="C10" s="3">
        <f>Supuestos!B33*0.5</f>
        <v>3692.4806358857977</v>
      </c>
      <c r="D10" s="9">
        <f>(C10-Costos!B17)/Costos!B17</f>
        <v>-0.76223563194553789</v>
      </c>
    </row>
    <row r="12" spans="1:4">
      <c r="A12" t="s">
        <v>202</v>
      </c>
      <c r="B12" t="s">
        <v>203</v>
      </c>
    </row>
    <row r="13" spans="1:4">
      <c r="A13" t="s">
        <v>204</v>
      </c>
      <c r="B13" t="s">
        <v>205</v>
      </c>
    </row>
    <row r="15" spans="1:4" ht="32.1" customHeight="1">
      <c r="A15" s="20" t="s">
        <v>206</v>
      </c>
      <c r="B15" s="20" t="s">
        <v>207</v>
      </c>
      <c r="C15" s="20">
        <f>C10</f>
        <v>3692.4806358857977</v>
      </c>
      <c r="D15" s="23">
        <f>(3*C15-(Costos!B15+3*Costos!C16))/(Costos!B15+3*Costos!C16)</f>
        <v>-0.59645020372832813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0"/>
  <sheetViews>
    <sheetView workbookViewId="0"/>
  </sheetViews>
  <sheetFormatPr baseColWidth="10" defaultColWidth="9" defaultRowHeight="14.25"/>
  <cols>
    <col min="1" max="1" width="62" customWidth="1"/>
    <col min="2" max="4" width="22" customWidth="1"/>
    <col min="5" max="5" width="30" customWidth="1"/>
  </cols>
  <sheetData>
    <row r="1" spans="1:5" ht="33">
      <c r="A1" s="24" t="s">
        <v>208</v>
      </c>
    </row>
    <row r="3" spans="1:5" ht="30">
      <c r="A3" s="25" t="s">
        <v>1</v>
      </c>
      <c r="B3" s="25" t="s">
        <v>209</v>
      </c>
      <c r="C3" s="25" t="s">
        <v>210</v>
      </c>
      <c r="D3" s="25" t="s">
        <v>211</v>
      </c>
      <c r="E3" s="25" t="s">
        <v>212</v>
      </c>
    </row>
    <row r="4" spans="1:5">
      <c r="A4" s="26" t="s">
        <v>213</v>
      </c>
      <c r="B4" s="27">
        <v>137</v>
      </c>
      <c r="C4" s="27">
        <v>158</v>
      </c>
      <c r="D4" s="27">
        <v>177</v>
      </c>
      <c r="E4" s="26" t="s">
        <v>214</v>
      </c>
    </row>
    <row r="5" spans="1:5">
      <c r="A5" s="26" t="s">
        <v>215</v>
      </c>
      <c r="B5" s="27">
        <v>6</v>
      </c>
      <c r="C5" s="27">
        <v>6</v>
      </c>
      <c r="D5" s="27">
        <v>5</v>
      </c>
      <c r="E5" s="26" t="s">
        <v>216</v>
      </c>
    </row>
    <row r="6" spans="1:5">
      <c r="A6" s="26" t="s">
        <v>217</v>
      </c>
      <c r="B6" s="28">
        <f>B4/B5*12</f>
        <v>274</v>
      </c>
      <c r="C6" s="28">
        <f>C4/C5*12</f>
        <v>316</v>
      </c>
      <c r="D6" s="28">
        <f>D4/D5*12</f>
        <v>424.79999999999995</v>
      </c>
      <c r="E6" s="26" t="s">
        <v>218</v>
      </c>
    </row>
    <row r="7" spans="1:5">
      <c r="A7" s="26" t="s">
        <v>219</v>
      </c>
      <c r="B7" s="29">
        <v>12.23708493347298</v>
      </c>
      <c r="C7" s="29">
        <v>12.23708493347298</v>
      </c>
      <c r="D7" s="29">
        <v>12.23708493347298</v>
      </c>
      <c r="E7" s="26" t="s">
        <v>220</v>
      </c>
    </row>
    <row r="8" spans="1:5">
      <c r="A8" s="26" t="s">
        <v>221</v>
      </c>
      <c r="B8" s="30">
        <f>B6*B7</f>
        <v>3352.9612717715963</v>
      </c>
      <c r="C8" s="30">
        <f>C6*C7</f>
        <v>3866.9188389774617</v>
      </c>
      <c r="D8" s="30">
        <f>D6*D7</f>
        <v>5198.3136797393217</v>
      </c>
      <c r="E8" s="26" t="s">
        <v>222</v>
      </c>
    </row>
    <row r="9" spans="1:5">
      <c r="A9" s="26" t="s">
        <v>223</v>
      </c>
      <c r="B9" s="30">
        <v>4032</v>
      </c>
      <c r="C9" s="30">
        <v>4032</v>
      </c>
      <c r="D9" s="30">
        <v>4032</v>
      </c>
      <c r="E9" s="26" t="s">
        <v>220</v>
      </c>
    </row>
    <row r="10" spans="1:5">
      <c r="A10" s="26" t="s">
        <v>224</v>
      </c>
      <c r="B10" s="30">
        <f>B8+B9</f>
        <v>7384.9612717715963</v>
      </c>
      <c r="C10" s="30">
        <f>C8+C9</f>
        <v>7898.9188389774617</v>
      </c>
      <c r="D10" s="30">
        <f>D8+D9</f>
        <v>9230.3136797393217</v>
      </c>
      <c r="E10" s="26" t="s">
        <v>225</v>
      </c>
    </row>
    <row r="11" spans="1:5">
      <c r="A11" s="26" t="s">
        <v>226</v>
      </c>
      <c r="B11" s="30">
        <v>9570</v>
      </c>
      <c r="C11" s="30">
        <v>9570</v>
      </c>
      <c r="D11" s="30">
        <v>9570</v>
      </c>
      <c r="E11" s="26" t="s">
        <v>227</v>
      </c>
    </row>
    <row r="12" spans="1:5">
      <c r="A12" s="26" t="s">
        <v>228</v>
      </c>
      <c r="B12" s="30">
        <v>5960</v>
      </c>
      <c r="C12" s="30">
        <v>5960</v>
      </c>
      <c r="D12" s="30">
        <v>5960</v>
      </c>
      <c r="E12" s="26" t="s">
        <v>227</v>
      </c>
    </row>
    <row r="13" spans="1:5" ht="28.5">
      <c r="A13" s="26" t="s">
        <v>229</v>
      </c>
      <c r="B13" s="31">
        <f>(B10-B11-B12)/(B11+B12)</f>
        <v>-0.52447126389107557</v>
      </c>
      <c r="C13" s="31">
        <f>(C10-C11-C12)/(C11+C12)</f>
        <v>-0.49137676503686661</v>
      </c>
      <c r="D13" s="31">
        <f>(D10-D11-D12)/(D11+D12)</f>
        <v>-0.40564625371929675</v>
      </c>
      <c r="E13" s="26" t="s">
        <v>230</v>
      </c>
    </row>
    <row r="14" spans="1:5" ht="28.5">
      <c r="A14" s="26" t="s">
        <v>231</v>
      </c>
      <c r="B14" s="31">
        <f>(3*B10-B11-3*B12)/(B11+3*B12)</f>
        <v>-0.19290040745665618</v>
      </c>
      <c r="C14" s="31">
        <f>(3*C10-C11-3*C12)/(C11+3*C12)</f>
        <v>-0.13673018153251781</v>
      </c>
      <c r="D14" s="31">
        <f>(3*D10-D11-3*D12)/(D11+3*D12)</f>
        <v>8.7774513376307258E-3</v>
      </c>
      <c r="E14" s="26" t="s">
        <v>232</v>
      </c>
    </row>
    <row r="15" spans="1:5" ht="28.5">
      <c r="A15" s="26" t="s">
        <v>233</v>
      </c>
      <c r="B15" s="32">
        <f>B11/(B10-B12)*12</f>
        <v>80.591663980610576</v>
      </c>
      <c r="C15" s="32">
        <f>C11/(C10-C12)*12</f>
        <v>59.228884516158402</v>
      </c>
      <c r="D15" s="32">
        <f>D11/(D10-D12)*12</f>
        <v>35.115897508997961</v>
      </c>
      <c r="E15" s="26" t="s">
        <v>234</v>
      </c>
    </row>
    <row r="17" spans="1:3" ht="16.5">
      <c r="A17" s="24" t="s">
        <v>235</v>
      </c>
    </row>
    <row r="18" spans="1:3" ht="30">
      <c r="A18" s="25" t="s">
        <v>236</v>
      </c>
      <c r="B18" s="25" t="s">
        <v>237</v>
      </c>
      <c r="C18" s="25" t="s">
        <v>238</v>
      </c>
    </row>
    <row r="19" spans="1:3">
      <c r="A19" s="4" t="s">
        <v>239</v>
      </c>
      <c r="B19" s="33">
        <v>854</v>
      </c>
      <c r="C19" s="33">
        <v>2535</v>
      </c>
    </row>
    <row r="20" spans="1:3">
      <c r="A20" s="4" t="s">
        <v>240</v>
      </c>
      <c r="B20" s="10">
        <v>2.226161305458527E-2</v>
      </c>
      <c r="C20" s="10">
        <v>9.0309939437121484E-2</v>
      </c>
    </row>
    <row r="21" spans="1:3">
      <c r="A21" s="4" t="s">
        <v>241</v>
      </c>
      <c r="B21" s="33">
        <v>606</v>
      </c>
      <c r="C21" s="33">
        <v>1950</v>
      </c>
    </row>
    <row r="22" spans="1:3">
      <c r="A22" s="4" t="s">
        <v>242</v>
      </c>
      <c r="B22" s="33">
        <v>448</v>
      </c>
      <c r="C22" s="33">
        <v>1773</v>
      </c>
    </row>
    <row r="23" spans="1:3">
      <c r="A23" s="4" t="s">
        <v>243</v>
      </c>
      <c r="B23" s="10">
        <v>0.70960187353629978</v>
      </c>
      <c r="C23" s="10">
        <v>0.76923076923076927</v>
      </c>
    </row>
    <row r="24" spans="1:3">
      <c r="A24" s="4" t="s">
        <v>244</v>
      </c>
      <c r="B24" s="10">
        <v>0.16833333333333331</v>
      </c>
      <c r="C24" s="10">
        <v>0.65</v>
      </c>
    </row>
    <row r="25" spans="1:3">
      <c r="A25" s="4" t="s">
        <v>245</v>
      </c>
      <c r="B25" s="33">
        <v>-502.56</v>
      </c>
      <c r="C25" s="33">
        <v>17268</v>
      </c>
    </row>
    <row r="27" spans="1:3">
      <c r="A27" s="34" t="s">
        <v>246</v>
      </c>
    </row>
    <row r="28" spans="1:3">
      <c r="A28" s="34" t="s">
        <v>247</v>
      </c>
    </row>
    <row r="29" spans="1:3">
      <c r="A29" s="34" t="s">
        <v>248</v>
      </c>
    </row>
    <row r="30" spans="1:3">
      <c r="A30" s="34" t="s">
        <v>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Costos</vt:lpstr>
      <vt:lpstr>Supuestos</vt:lpstr>
      <vt:lpstr>Escenarios</vt:lpstr>
      <vt:lpstr>Validacion</vt:lpstr>
      <vt:lpstr>Sensibilidad</vt:lpstr>
      <vt:lpstr>Actualizacion_Etapa4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Geronimo Fasce</cp:lastModifiedBy>
  <dcterms:created xsi:type="dcterms:W3CDTF">2026-10-30T19:17:02Z</dcterms:created>
  <dcterms:modified xsi:type="dcterms:W3CDTF">2026-10-30T19:17:03Z</dcterms:modified>
</cp:coreProperties>
</file>